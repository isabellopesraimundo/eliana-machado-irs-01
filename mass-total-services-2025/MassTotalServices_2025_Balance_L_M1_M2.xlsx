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s" sheetId="1" state="visible" r:id="rId1"/>
    <sheet xmlns:r="http://schemas.openxmlformats.org/officeDocument/2006/relationships" name="Dados" sheetId="2" state="visible" r:id="rId2"/>
    <sheet xmlns:r="http://schemas.openxmlformats.org/officeDocument/2006/relationships" name="DRE" sheetId="3" state="visible" r:id="rId3"/>
    <sheet xmlns:r="http://schemas.openxmlformats.org/officeDocument/2006/relationships" name="Schedule L" sheetId="4" state="visible" r:id="rId4"/>
    <sheet xmlns:r="http://schemas.openxmlformats.org/officeDocument/2006/relationships" name="Schedule M-1" sheetId="5" state="visible" r:id="rId5"/>
    <sheet xmlns:r="http://schemas.openxmlformats.org/officeDocument/2006/relationships" name="Schedule M-2" sheetId="6" state="visible" r:id="rId6"/>
    <sheet xmlns:r="http://schemas.openxmlformats.org/officeDocument/2006/relationships" name="Conciliaca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/>
    <font>
      <i val="1"/>
      <color rgb="00666666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center" wrapText="1"/>
    </xf>
    <xf numFmtId="164" fontId="3" fillId="0" borderId="0" pivotButton="0" quotePrefix="0" xfId="0"/>
    <xf numFmtId="0" fontId="0" fillId="3" borderId="0" pivotButton="0" quotePrefix="0" xfId="0"/>
    <xf numFmtId="164" fontId="3" fillId="3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4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Notas e pontos para confirmar com o cliente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t="inlineStr">
        <is>
          <t>1. O Schedule L da declaracao preparada NAO fecha com o M-2: inicio tudo zero e Retained Earnings fim (31,610) vs AAA fim 87,412.</t>
        </is>
      </c>
    </row>
    <row r="6">
      <c r="A6" t="inlineStr">
        <is>
          <t xml:space="preserve">   O worksheet M-2 do software mostra diferenca de 41,308; somando o AAA inicial (77,714) a diferenca real e 119,022.</t>
        </is>
      </c>
    </row>
    <row r="7">
      <c r="A7" t="inlineStr">
        <is>
          <t>2. Correcao proposta: Retained earnings inicio = 77,714 (lucro 2024 78,491 - 777 nao dedutivel, sem distribuicoes em 2024)</t>
        </is>
      </c>
    </row>
    <row r="8">
      <c r="A8" t="inlineStr">
        <is>
          <t xml:space="preserve">   e Retained earnings fim = 87,412 = AAA, sem diferenca no worksheet M-2.</t>
        </is>
      </c>
    </row>
    <row r="9">
      <c r="A9" t="inlineStr">
        <is>
          <t>3. Caixa inicio 77,714 e SUPOSICAO. Pegar o extrato de 31/12/2024. Se for diferente, a diferenca entra como</t>
        </is>
      </c>
    </row>
    <row r="10">
      <c r="A10" t="inlineStr">
        <is>
          <t xml:space="preserve">   Loan to shareholder no inicio (ex.: extrato 20,000 -&gt; L7 inicio 57,714) - basta mudar Dados!B15.</t>
        </is>
      </c>
    </row>
    <row r="11">
      <c r="A11" t="inlineStr">
        <is>
          <t>4. As saidas de caixa nao explicadas (119,022) estao como Loans to shareholders (L7).</t>
        </is>
      </c>
    </row>
    <row r="12">
      <c r="A12" t="inlineStr">
        <is>
          <t xml:space="preserve">   Se o cliente confirmar que foi retirada pessoal, o certo e aumentar as distribuicoes (K16d / M-2 L7) para 339,022.</t>
        </is>
      </c>
    </row>
    <row r="13">
      <c r="A13" t="inlineStr">
        <is>
          <t xml:space="preserve">   Nesse caso a distribuicao passa do AAA (307,412) e pode gerar ganho de capital para o acionista se exceder a base.</t>
        </is>
      </c>
    </row>
    <row r="14">
      <c r="A14" t="inlineStr">
        <is>
          <t xml:space="preserve">   Emprestimo ao acionista precisa de nota promissoria/juros para o IRS aceitar; caso contrario vira distribuicao.</t>
        </is>
      </c>
    </row>
    <row r="15">
      <c r="A15" t="inlineStr">
        <is>
          <t>5. O 39,519 (= custo do BMW) foi tratado como financiamento do carro (L20), nao contas a pagar (L16).</t>
        </is>
      </c>
    </row>
    <row r="16">
      <c r="A16" t="inlineStr">
        <is>
          <t xml:space="preserve">   Confirmar saldo do financiamento em 31/12/2025 e se houve juros pagos (deduziveis, L13 - hoje em branco).</t>
        </is>
      </c>
    </row>
    <row r="17">
      <c r="A17" t="inlineStr">
        <is>
          <t>6. Gifts 1,671: presentes de negocio sao dedutiveis so ate $25 por pessoa. O excesso e nao dedutivel:</t>
        </is>
      </c>
    </row>
    <row r="18">
      <c r="A18" t="inlineStr">
        <is>
          <t xml:space="preserve">   vai para M-1 L3 e M-2 L5 (e K16c). Basta colocar o valor em Dados!B18 - tudo recalcula.</t>
        </is>
      </c>
    </row>
    <row r="19">
      <c r="A19" t="inlineStr">
        <is>
          <t>7. Schedule B Q11: receita &gt; 250,000, entao L e M-1 sao obrigatorios em 2025.</t>
        </is>
      </c>
    </row>
    <row r="20">
      <c r="A20" t="inlineStr">
        <is>
          <t>8. Compensation of officers (L7) esta zero com lucro de 229,698 - IRS espera salario razoavel para acionista ativo (risco).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45" customWidth="1" min="3" max="3"/>
    <col width="16" customWidth="1" min="4" max="4"/>
    <col width="16" customWidth="1" min="5" max="5"/>
  </cols>
  <sheetData>
    <row r="1">
      <c r="A1" s="1" t="inlineStr">
        <is>
          <t>Dados de entrada (azul = numero digitado, tirado da declaracao)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2" t="inlineStr">
        <is>
          <t>Item</t>
        </is>
      </c>
      <c r="B5" s="3" t="inlineStr">
        <is>
          <t>Valor</t>
        </is>
      </c>
      <c r="C5" s="3" t="inlineStr">
        <is>
          <t>Fonte</t>
        </is>
      </c>
    </row>
    <row r="6">
      <c r="A6" t="inlineStr">
        <is>
          <t>Receita bruta (1120-S L1c)</t>
        </is>
      </c>
      <c r="B6" s="4" t="n">
        <v>445989</v>
      </c>
      <c r="C6" t="inlineStr">
        <is>
          <t>1120-S pag. 1</t>
        </is>
      </c>
    </row>
    <row r="7">
      <c r="A7" t="inlineStr">
        <is>
          <t>Custo das mercadorias - compras (1125-A)</t>
        </is>
      </c>
      <c r="B7" s="4" t="n">
        <v>128185</v>
      </c>
      <c r="C7" t="inlineStr">
        <is>
          <t>1125-A L2</t>
        </is>
      </c>
    </row>
    <row r="8">
      <c r="A8" t="inlineStr">
        <is>
          <t>Reparos e manutencao (L9)</t>
        </is>
      </c>
      <c r="B8" s="4" t="n">
        <v>801</v>
      </c>
      <c r="C8" t="inlineStr">
        <is>
          <t>1120-S pag. 1</t>
        </is>
      </c>
    </row>
    <row r="9">
      <c r="A9" t="inlineStr">
        <is>
          <t>Impostos e licencas (L12)</t>
        </is>
      </c>
      <c r="B9" s="4" t="n">
        <v>4880</v>
      </c>
      <c r="C9" t="inlineStr">
        <is>
          <t>Wks Tax/Lic</t>
        </is>
      </c>
    </row>
    <row r="10">
      <c r="A10" t="inlineStr">
        <is>
          <t>Depreciacao (L14) - BMW, bonus 100%</t>
        </is>
      </c>
      <c r="B10" s="4" t="n">
        <v>39520</v>
      </c>
      <c r="C10" t="inlineStr">
        <is>
          <t>Form 4562 / Depr. detail</t>
        </is>
      </c>
    </row>
    <row r="11">
      <c r="A11" t="inlineStr">
        <is>
          <t>Outras despesas (L20)</t>
        </is>
      </c>
      <c r="B11" s="4" t="n">
        <v>42905</v>
      </c>
      <c r="C11" t="inlineStr">
        <is>
          <t>Statement #2</t>
        </is>
      </c>
    </row>
    <row r="12">
      <c r="A12" t="inlineStr">
        <is>
          <t>Distribuicoes ao acionista (K 16d)</t>
        </is>
      </c>
      <c r="B12" s="4" t="n">
        <v>220000</v>
      </c>
      <c r="C12" t="inlineStr">
        <is>
          <t>Wks DIST</t>
        </is>
      </c>
    </row>
    <row r="13">
      <c r="A13" t="inlineStr">
        <is>
          <t>AAA inicio do ano (M-2 L1)</t>
        </is>
      </c>
      <c r="B13" s="4" t="n">
        <v>77714</v>
      </c>
      <c r="C13" t="inlineStr">
        <is>
          <t>M-2 / 2024: 78,491 - 777 nao dedutivel</t>
        </is>
      </c>
    </row>
    <row r="14">
      <c r="A14" t="inlineStr">
        <is>
          <t>Caixa 31/12/2025 (extrato)</t>
        </is>
      </c>
      <c r="B14" s="4" t="n">
        <v>7909</v>
      </c>
      <c r="C14" t="inlineStr">
        <is>
          <t>Sch L / MA Sch A L16</t>
        </is>
      </c>
    </row>
    <row r="15">
      <c r="A15" s="5" t="inlineStr">
        <is>
          <t>Caixa 31/12/2024 (extrato)</t>
        </is>
      </c>
      <c r="B15" s="6" t="n">
        <v>77714</v>
      </c>
      <c r="C15" s="5" t="inlineStr">
        <is>
          <t>SUPOSICAO - confirmar extrato de 12/2024</t>
        </is>
      </c>
    </row>
    <row r="16">
      <c r="A16" t="inlineStr">
        <is>
          <t>BMW - custo (comprado 08/15/2025)</t>
        </is>
      </c>
      <c r="B16" s="4" t="n">
        <v>39520</v>
      </c>
      <c r="C16" t="inlineStr">
        <is>
          <t>Depr. detail</t>
        </is>
      </c>
    </row>
    <row r="17">
      <c r="A17" t="inlineStr">
        <is>
          <t>Financiamento BMW / contas a pagar 31/12/2025</t>
        </is>
      </c>
      <c r="B17" s="4" t="n">
        <v>39519</v>
      </c>
      <c r="C17" t="inlineStr">
        <is>
          <t>Sch L L16 / MA Sch A L21</t>
        </is>
      </c>
    </row>
    <row r="18">
      <c r="A18" s="5" t="inlineStr">
        <is>
          <t>Despesas nao dedutiveis 2025 (K 16c)</t>
        </is>
      </c>
      <c r="B18" s="6" t="n">
        <v>0</v>
      </c>
      <c r="C18" s="5" t="inlineStr">
        <is>
          <t>nenhuma na declaracao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Demonstracao de Resultado 2025 (Income Statement per books)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2" t="inlineStr">
        <is>
          <t>Conta</t>
        </is>
      </c>
      <c r="B5" s="3" t="inlineStr">
        <is>
          <t>2025</t>
        </is>
      </c>
    </row>
    <row r="6">
      <c r="A6" s="7" t="inlineStr">
        <is>
          <t>Receita bruta (Gross receipts)</t>
        </is>
      </c>
      <c r="B6" s="8">
        <f>Dados!$B$6</f>
        <v/>
      </c>
    </row>
    <row r="7">
      <c r="A7" s="7" t="inlineStr">
        <is>
          <t>(-) Custo das mercadorias vendidas (COGS)</t>
        </is>
      </c>
      <c r="B7" s="8">
        <f>-Dados!$B$7</f>
        <v/>
      </c>
    </row>
    <row r="8">
      <c r="A8" s="9" t="inlineStr">
        <is>
          <t>Lucro bruto (Gross profit)</t>
        </is>
      </c>
      <c r="B8" s="10">
        <f>B6+B7</f>
        <v/>
      </c>
    </row>
    <row r="9">
      <c r="A9" s="7" t="inlineStr">
        <is>
          <t>(-) Reparos e manutencao</t>
        </is>
      </c>
      <c r="B9" s="8">
        <f>-Dados!$B$8</f>
        <v/>
      </c>
    </row>
    <row r="10">
      <c r="A10" s="7" t="inlineStr">
        <is>
          <t>(-) Impostos e licencas</t>
        </is>
      </c>
      <c r="B10" s="8">
        <f>-Dados!$B$9</f>
        <v/>
      </c>
    </row>
    <row r="11">
      <c r="A11" s="7" t="inlineStr">
        <is>
          <t>(-) Depreciacao</t>
        </is>
      </c>
      <c r="B11" s="8">
        <f>-Dados!$B$10</f>
        <v/>
      </c>
    </row>
    <row r="12">
      <c r="A12" s="7" t="inlineStr">
        <is>
          <t>(-) Outras despesas (seguro, telefone, correio, etc.)</t>
        </is>
      </c>
      <c r="B12" s="8">
        <f>-Dados!$B$11</f>
        <v/>
      </c>
    </row>
    <row r="13">
      <c r="A13" s="7" t="inlineStr">
        <is>
          <t>(-) Despesas nao dedutiveis</t>
        </is>
      </c>
      <c r="B13" s="8">
        <f>-Dados!$B$18</f>
        <v/>
      </c>
    </row>
    <row r="14">
      <c r="A14" s="9" t="inlineStr">
        <is>
          <t>Lucro liquido contabil (Net income per books)</t>
        </is>
      </c>
      <c r="B14" s="10">
        <f>SUM(B8:B13)</f>
        <v/>
      </c>
    </row>
    <row r="16">
      <c r="A16" s="7" t="inlineStr">
        <is>
          <t>Confere com 1120-S L22 (229,698)?</t>
        </is>
      </c>
      <c r="B16" s="8">
        <f>IF(B14+Dados!$B$18=229698,"OK","VERIFICAR")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Schedule L - Balance Sheets per Books (corrigido)</t>
        </is>
      </c>
    </row>
    <row r="2">
      <c r="A2" t="inlineStr">
        <is>
          <t>MASS TOTAL SERVICES INC  -  EIN 93-3675960  -  Form 1120-S 2025 (ano-calendario, regime de caixa)</t>
        </is>
      </c>
    </row>
    <row r="3">
      <c r="A3" s="11" t="inlineStr">
        <is>
          <t>Colunas (a)/(c) = bruto; (b)/(d) = liquido, como no formulario</t>
        </is>
      </c>
    </row>
    <row r="5">
      <c r="A5" s="2" t="inlineStr">
        <is>
          <t>Linha</t>
        </is>
      </c>
      <c r="B5" s="3" t="inlineStr">
        <is>
          <t>(a) Inicio bruto</t>
        </is>
      </c>
      <c r="C5" s="3" t="inlineStr">
        <is>
          <t>(b) Inicio</t>
        </is>
      </c>
      <c r="D5" s="3" t="inlineStr">
        <is>
          <t>(c) Fim bruto</t>
        </is>
      </c>
      <c r="E5" s="3" t="inlineStr">
        <is>
          <t>(d) Fim</t>
        </is>
      </c>
    </row>
    <row r="6">
      <c r="A6" s="9" t="inlineStr">
        <is>
          <t>ATIVO (Assets)</t>
        </is>
      </c>
    </row>
    <row r="7">
      <c r="A7" s="7" t="inlineStr">
        <is>
          <t>1  Cash</t>
        </is>
      </c>
      <c r="C7" s="8">
        <f>Dados!$B$15</f>
        <v/>
      </c>
      <c r="E7" s="8">
        <f>Dados!$B$14</f>
        <v/>
      </c>
    </row>
    <row r="8">
      <c r="A8" s="7" t="inlineStr">
        <is>
          <t>7  Loans to shareholders</t>
        </is>
      </c>
      <c r="C8" s="8">
        <f>Dados!$B$13-Dados!$B$15</f>
        <v/>
      </c>
      <c r="E8" s="8">
        <f>C8+Conciliacao!B16</f>
        <v/>
      </c>
    </row>
    <row r="9">
      <c r="A9" s="7" t="inlineStr">
        <is>
          <t>10a Buildings and other depreciable assets (BMW)</t>
        </is>
      </c>
      <c r="B9" s="8" t="n">
        <v>0</v>
      </c>
      <c r="D9" s="8">
        <f>Dados!$B$16</f>
        <v/>
      </c>
    </row>
    <row r="10">
      <c r="A10" s="7" t="inlineStr">
        <is>
          <t>10b Less accumulated depreciation</t>
        </is>
      </c>
      <c r="B10" s="8" t="n">
        <v>0</v>
      </c>
      <c r="D10" s="8">
        <f>-Dados!$B$10</f>
        <v/>
      </c>
    </row>
    <row r="11">
      <c r="A11" s="7" t="inlineStr">
        <is>
          <t xml:space="preserve">     Liquido imobilizado</t>
        </is>
      </c>
      <c r="C11" s="8">
        <f>B9+B10</f>
        <v/>
      </c>
      <c r="E11" s="8">
        <f>D9+D10</f>
        <v/>
      </c>
    </row>
    <row r="12">
      <c r="A12" s="9" t="inlineStr">
        <is>
          <t>15 Total assets</t>
        </is>
      </c>
      <c r="C12" s="10">
        <f>C7+C8+C11</f>
        <v/>
      </c>
      <c r="E12" s="10">
        <f>E7+E8+E11</f>
        <v/>
      </c>
    </row>
    <row r="14">
      <c r="A14" s="9" t="inlineStr">
        <is>
          <t>PASSIVO E PATRIMONIO (Liabilities &amp; Equity)</t>
        </is>
      </c>
    </row>
    <row r="15">
      <c r="A15" s="7" t="inlineStr">
        <is>
          <t>20 Mortgages, notes, bonds payable &gt;= 1 yr (financ. BMW)</t>
        </is>
      </c>
      <c r="C15" s="8" t="n">
        <v>0</v>
      </c>
      <c r="E15" s="8">
        <f>Dados!$B$17</f>
        <v/>
      </c>
    </row>
    <row r="16">
      <c r="A16" s="7" t="inlineStr">
        <is>
          <t>22 Capital stock</t>
        </is>
      </c>
      <c r="C16" s="8" t="n">
        <v>0</v>
      </c>
      <c r="E16" s="8" t="n">
        <v>0</v>
      </c>
    </row>
    <row r="17">
      <c r="A17" s="7" t="inlineStr">
        <is>
          <t>24 Retained earnings</t>
        </is>
      </c>
      <c r="C17" s="8">
        <f>Dados!$B$13</f>
        <v/>
      </c>
      <c r="E17" s="8">
        <f>'Schedule M-2'!B13</f>
        <v/>
      </c>
    </row>
    <row r="18">
      <c r="A18" s="9" t="inlineStr">
        <is>
          <t>27 Total liabilities and shareholders' equity</t>
        </is>
      </c>
      <c r="C18" s="10">
        <f>SUM(C15:C17)</f>
        <v/>
      </c>
      <c r="E18" s="10">
        <f>SUM(E15:E17)</f>
        <v/>
      </c>
    </row>
    <row r="20">
      <c r="A20" s="9" t="inlineStr">
        <is>
          <t>Diferenca (tem que ser zero)</t>
        </is>
      </c>
      <c r="C20" s="8">
        <f>C12-C18</f>
        <v/>
      </c>
      <c r="E20" s="8">
        <f>E12-E18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Schedule M-1 - Reconciliation of Income per Books with Income per Return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2" t="inlineStr">
        <is>
          <t>Linha</t>
        </is>
      </c>
      <c r="B5" s="3" t="inlineStr">
        <is>
          <t>Valor</t>
        </is>
      </c>
    </row>
    <row r="6">
      <c r="A6" s="7" t="inlineStr">
        <is>
          <t>1  Net income (loss) per books</t>
        </is>
      </c>
      <c r="B6" s="8">
        <f>DRE!B14</f>
        <v/>
      </c>
    </row>
    <row r="7">
      <c r="A7" s="7" t="inlineStr">
        <is>
          <t>2  Income on Sch K not recorded on books</t>
        </is>
      </c>
      <c r="B7" s="8" t="n">
        <v>0</v>
      </c>
    </row>
    <row r="8">
      <c r="A8" s="7" t="inlineStr">
        <is>
          <t>3  Expenses on books not on Sch K (3a depr / 3b T&amp;E)</t>
        </is>
      </c>
      <c r="B8" s="8">
        <f>Dados!$B$18</f>
        <v/>
      </c>
    </row>
    <row r="9">
      <c r="A9" s="9" t="inlineStr">
        <is>
          <t>4  Add lines 1 through 3</t>
        </is>
      </c>
      <c r="B9" s="10">
        <f>SUM(B6:B8)</f>
        <v/>
      </c>
    </row>
    <row r="10">
      <c r="A10" s="7" t="inlineStr">
        <is>
          <t>5  Income on books not on Sch K (tax-exempt interest)</t>
        </is>
      </c>
      <c r="B10" s="8" t="n">
        <v>0</v>
      </c>
    </row>
    <row r="11">
      <c r="A11" s="7" t="inlineStr">
        <is>
          <t>6  Deductions on Sch K not charged against book income</t>
        </is>
      </c>
      <c r="B11" s="8" t="n">
        <v>0</v>
      </c>
    </row>
    <row r="12">
      <c r="A12" s="9" t="inlineStr">
        <is>
          <t>7  Add lines 5 and 6</t>
        </is>
      </c>
      <c r="B12" s="10">
        <f>B10+B11</f>
        <v/>
      </c>
    </row>
    <row r="13">
      <c r="A13" s="9" t="inlineStr">
        <is>
          <t>8  Income (loss) Schedule K line 18 (line 4 - line 7)</t>
        </is>
      </c>
      <c r="B13" s="10">
        <f>B9-B12</f>
        <v/>
      </c>
    </row>
    <row r="15">
      <c r="A15" s="7" t="inlineStr">
        <is>
          <t>Confere com Schedule K L18 (229,698)?</t>
        </is>
      </c>
      <c r="B15" s="8">
        <f>IF(B13=229698,"OK","VERIFICAR")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Schedule M-2 - Analysis of AAA / OAA</t>
        </is>
      </c>
    </row>
    <row r="2">
      <c r="A2" t="inlineStr">
        <is>
          <t>MASS TOTAL SERVICES INC  -  EIN 93-3675960  -  Form 1120-S 2025 (ano-calendario, regime de caixa)</t>
        </is>
      </c>
    </row>
    <row r="5">
      <c r="A5" s="2" t="inlineStr">
        <is>
          <t>Linha</t>
        </is>
      </c>
      <c r="B5" s="3" t="inlineStr">
        <is>
          <t>(a) AAA</t>
        </is>
      </c>
      <c r="C5" s="3" t="inlineStr">
        <is>
          <t>(d) OAA</t>
        </is>
      </c>
    </row>
    <row r="6">
      <c r="A6" s="7" t="inlineStr">
        <is>
          <t>1  Balance at beginning of tax year</t>
        </is>
      </c>
      <c r="B6" s="8">
        <f>Dados!$B$13</f>
        <v/>
      </c>
      <c r="C6" s="8" t="n">
        <v>0</v>
      </c>
    </row>
    <row r="7">
      <c r="A7" s="7" t="inlineStr">
        <is>
          <t>2  Ordinary income from page 1, line 22</t>
        </is>
      </c>
      <c r="B7" s="8">
        <f>'Schedule M-1'!B13</f>
        <v/>
      </c>
    </row>
    <row r="8">
      <c r="A8" s="7" t="inlineStr">
        <is>
          <t>3  Other additions</t>
        </is>
      </c>
      <c r="B8" s="8" t="n">
        <v>0</v>
      </c>
      <c r="C8" s="8" t="n">
        <v>0</v>
      </c>
    </row>
    <row r="9">
      <c r="A9" s="7" t="inlineStr">
        <is>
          <t>4  Loss from page 1, line 22</t>
        </is>
      </c>
      <c r="B9" s="8" t="n">
        <v>0</v>
      </c>
    </row>
    <row r="10">
      <c r="A10" s="7" t="inlineStr">
        <is>
          <t>5  Other reductions (nao dedutiveis)</t>
        </is>
      </c>
      <c r="B10" s="8">
        <f>-Dados!$B$18</f>
        <v/>
      </c>
      <c r="C10" s="8" t="n">
        <v>0</v>
      </c>
    </row>
    <row r="11">
      <c r="A11" s="9" t="inlineStr">
        <is>
          <t>6  Combine lines 1 through 5</t>
        </is>
      </c>
      <c r="B11" s="10">
        <f>SUM(B6:B10)</f>
        <v/>
      </c>
      <c r="C11" s="10">
        <f>SUM(C6:C10)</f>
        <v/>
      </c>
    </row>
    <row r="12">
      <c r="A12" s="7" t="inlineStr">
        <is>
          <t>7  Distributions</t>
        </is>
      </c>
      <c r="B12" s="8">
        <f>Dados!$B$12</f>
        <v/>
      </c>
      <c r="C12" s="8" t="n">
        <v>0</v>
      </c>
    </row>
    <row r="13">
      <c r="A13" s="9" t="inlineStr">
        <is>
          <t>8  Balance at end of tax year (line 6 - line 7)</t>
        </is>
      </c>
      <c r="B13" s="10">
        <f>B11-B12</f>
        <v/>
      </c>
      <c r="C13" s="10">
        <f>C11-C12</f>
        <v/>
      </c>
    </row>
    <row r="15">
      <c r="A15" s="9" t="inlineStr">
        <is>
          <t>Retained earnings (Sch L L24 fim) = AAA + OAA?</t>
        </is>
      </c>
      <c r="B15" s="8">
        <f>IF('Schedule L'!E17=B13+C13,"OK","VERIFICAR")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Conciliacao de caixa - de onde sai o Loan to shareholder</t>
        </is>
      </c>
    </row>
    <row r="2">
      <c r="A2" t="inlineStr">
        <is>
          <t>MASS TOTAL SERVICES INC  -  EIN 93-3675960  -  Form 1120-S 2025 (ano-calendario, regime de caixa)</t>
        </is>
      </c>
    </row>
    <row r="3">
      <c r="A3" s="11" t="inlineStr">
        <is>
          <t>O dinheiro que saiu do banco e nao esta explicado por despesa/distribuicao registrada</t>
        </is>
      </c>
    </row>
    <row r="5">
      <c r="A5" s="2" t="inlineStr">
        <is>
          <t>Movimento</t>
        </is>
      </c>
      <c r="B5" s="3" t="inlineStr">
        <is>
          <t>Valor</t>
        </is>
      </c>
    </row>
    <row r="6">
      <c r="A6" s="7" t="inlineStr">
        <is>
          <t>Caixa inicio (31/12/2024)</t>
        </is>
      </c>
      <c r="B6" s="8">
        <f>Dados!$B$15</f>
        <v/>
      </c>
    </row>
    <row r="7">
      <c r="A7" s="7" t="inlineStr">
        <is>
          <t>(+) Lucro liquido contabil</t>
        </is>
      </c>
      <c r="B7" s="8">
        <f>DRE!B14</f>
        <v/>
      </c>
    </row>
    <row r="8">
      <c r="A8" s="7" t="inlineStr">
        <is>
          <t>(+) Depreciacao (nao e saida de caixa)</t>
        </is>
      </c>
      <c r="B8" s="8">
        <f>Dados!$B$10</f>
        <v/>
      </c>
    </row>
    <row r="9">
      <c r="A9" s="7" t="inlineStr">
        <is>
          <t>(-) Compra BMW</t>
        </is>
      </c>
      <c r="B9" s="8">
        <f>-Dados!$B$16</f>
        <v/>
      </c>
    </row>
    <row r="10">
      <c r="A10" s="7" t="inlineStr">
        <is>
          <t>(+) Financiamento BMW</t>
        </is>
      </c>
      <c r="B10" s="8">
        <f>Dados!$B$17</f>
        <v/>
      </c>
    </row>
    <row r="11">
      <c r="A11" s="7" t="inlineStr">
        <is>
          <t>(-) Distribuicoes registradas</t>
        </is>
      </c>
      <c r="B11" s="8">
        <f>-Dados!$B$12</f>
        <v/>
      </c>
    </row>
    <row r="12">
      <c r="A12" s="9" t="inlineStr">
        <is>
          <t>Caixa que deveria existir em 31/12/2025</t>
        </is>
      </c>
      <c r="B12" s="10">
        <f>SUM(B6:B11)</f>
        <v/>
      </c>
    </row>
    <row r="13">
      <c r="A13" s="7" t="inlineStr">
        <is>
          <t>Caixa real em 31/12/2025 (extrato)</t>
        </is>
      </c>
      <c r="B13" s="8">
        <f>Dados!$B$14</f>
        <v/>
      </c>
    </row>
    <row r="15">
      <c r="A15" s="9" t="inlineStr">
        <is>
          <t>Saidas nao explicadas</t>
        </is>
      </c>
      <c r="B15" s="10">
        <f>B12-B13</f>
        <v/>
      </c>
    </row>
    <row r="16">
      <c r="A16" s="9" t="inlineStr">
        <is>
          <t>-&gt; lancado como Loan to shareholder (Sch L L7)</t>
        </is>
      </c>
      <c r="B16" s="8">
        <f>B15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2026-10-12T18:06:50Z</dcterms:created>
  <dcterms:modified xmlns:dcterms="http://purl.org/dc/terms/" xmlns:xsi="http://www.w3.org/2001/XMLSchema-instance" xsi:type="dcterms:W3CDTF">2026-10-12T18:06:50Z</dcterms:modified>
</cp:coreProperties>
</file>