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DRE" sheetId="3" state="visible" r:id="rId3"/>
    <sheet xmlns:r="http://schemas.openxmlformats.org/officeDocument/2006/relationships" name="Conciliacao" sheetId="4" state="visible" r:id="rId4"/>
    <sheet xmlns:r="http://schemas.openxmlformats.org/officeDocument/2006/relationships" name="Schedule L" sheetId="5" state="visible" r:id="rId5"/>
    <sheet xmlns:r="http://schemas.openxmlformats.org/officeDocument/2006/relationships" name="Schedule M-1" sheetId="6" state="visible" r:id="rId6"/>
    <sheet xmlns:r="http://schemas.openxmlformats.org/officeDocument/2006/relationships" name="Schedule M-2" sheetId="7" state="visible" r:id="rId7"/>
    <sheet xmlns:r="http://schemas.openxmlformats.org/officeDocument/2006/relationships" name="Base do Soc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/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164" fontId="3" fillId="0" borderId="0" pivotButton="0" quotePrefix="0" xfId="0"/>
    <xf numFmtId="0" fontId="0" fillId="3" borderId="0" pivotButton="0" quotePrefix="0" xfId="0"/>
    <xf numFmtId="9" fontId="3" fillId="3" borderId="0" pivotButton="0" quotePrefix="0" xfId="0"/>
    <xf numFmtId="164" fontId="3" fillId="3" borderId="0" pivotButton="0" quotePrefix="0" xfId="0"/>
    <xf numFmtId="164" fontId="2" fillId="0" borderId="0" pivotButton="0" quotePrefix="0" xfId="0"/>
    <xf numFmtId="164" fontId="0" fillId="0" borderId="0" pivotButton="0" quotePrefix="0" xfId="0"/>
    <xf numFmtId="164" fontId="2" fillId="4" borderId="1" pivotButton="0" quotePrefix="0" xfId="0"/>
    <xf numFmtId="0" fontId="5" fillId="0" borderId="0" pivotButton="0" quotePrefix="0" xfId="0"/>
    <xf numFmtId="0" fontId="2" fillId="3" borderId="0" pivotButton="0" quotePrefix="0" xfId="0"/>
    <xf numFmtId="164" fontId="2" fillId="3" borderId="1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Correcoes aplicadas e pendencias</t>
        </is>
      </c>
    </row>
    <row r="2">
      <c r="A2" t="inlineStr">
        <is>
          <t>Mass Total Services Inc  -  EIN 93-3675961  -  Form 1120-S 2025 (ano-calendario, regime de caixa)</t>
        </is>
      </c>
    </row>
    <row r="5">
      <c r="A5" s="2" t="inlineStr">
        <is>
          <t>DECLARACAO RETIFICADORA (1120-S 2025, EIN 93-3675961) - o que muda:</t>
        </is>
      </c>
    </row>
    <row r="6">
      <c r="A6" s="3" t="inlineStr">
        <is>
          <t>1. Pagina 1, item F (Total assets): 7,909 -&gt; 126,931.</t>
        </is>
      </c>
    </row>
    <row r="7">
      <c r="A7" s="3" t="inlineStr">
        <is>
          <t>2. Schedule L inicio: caixa 77,714 e retained earnings 77,714 (estava tudo zero).</t>
        </is>
      </c>
    </row>
    <row r="8">
      <c r="A8" s="3" t="inlineStr">
        <is>
          <t>3. Schedule L fim: Loans to shareholders (L7) 119,022; financiamento do BMW sai da L16 e vai para a L20; retained earnings 87,412.</t>
        </is>
      </c>
    </row>
    <row r="9">
      <c r="A9" s="3" t="inlineStr">
        <is>
          <t>4. Schedule M-1, M-2, Schedule K e K-1: sem alteracao (distribuicoes 220,000; AAA final 87,412).</t>
        </is>
      </c>
    </row>
    <row r="10">
      <c r="A10" s="3" t="inlineStr">
        <is>
          <t>5. Form 4562: BMW na Part V (listed property). K-1: tirar 'PRESIDENT' do nome do socio.</t>
        </is>
      </c>
    </row>
    <row r="11">
      <c r="A11" s="3" t="inlineStr">
        <is>
          <t>6. Massachusetts: Schedules A, B e D com os novos saldos; excise continua 456.</t>
        </is>
      </c>
    </row>
    <row r="12">
      <c r="A12" s="3" t="inlineStr"/>
    </row>
    <row r="13">
      <c r="A13" s="2" t="inlineStr">
        <is>
          <t>PARA O EMPRESTIMO AO SOCIO SER ACEITO PELO IRS:</t>
        </is>
      </c>
    </row>
    <row r="14">
      <c r="A14" s="3" t="inlineStr">
        <is>
          <t>a. Nota promissoria assinada (valor 119,022, juros pela taxa AFR do IRS, prazo de pagamento).</t>
        </is>
      </c>
    </row>
    <row r="15">
      <c r="A15" s="3" t="inlineStr">
        <is>
          <t>b. Cobrar juros pela AFR - sem juros, o IRS imputa juros (IRC 7872).</t>
        </is>
      </c>
    </row>
    <row r="16">
      <c r="A16" s="3" t="inlineStr">
        <is>
          <t>c. O socio precisa devolver de fato (pagamentos registrados no banco).</t>
        </is>
      </c>
    </row>
    <row r="17">
      <c r="A17" s="3" t="inlineStr">
        <is>
          <t>d. Sem isso, o IRS pode tratar os 119,022 como distribuicao (mude Dados!B22 para 0 para ver o efeito).</t>
        </is>
      </c>
    </row>
    <row r="18">
      <c r="A18" s="3" t="inlineStr"/>
    </row>
    <row r="19">
      <c r="A19" s="2" t="inlineStr">
        <is>
          <t>CONFIRMAR:</t>
        </is>
      </c>
    </row>
    <row r="20">
      <c r="A20" s="3" t="inlineStr">
        <is>
          <t>e. Extrato de 31/12/2024 (caixa inicial 77,714 reconstruido). Diferenca vai para Loans to shareholders no inicio.</t>
        </is>
      </c>
    </row>
    <row r="21">
      <c r="A21" s="3" t="inlineStr">
        <is>
          <t>f. Modelo/GVWR do BMW e log de milhas (Dados!B12 e B13).</t>
        </is>
      </c>
    </row>
    <row r="22">
      <c r="A22" s="3" t="inlineStr">
        <is>
          <t>g. Contrato do financiamento: saldo em 31/12/2025 e juros pagos.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66" customWidth="1" min="1" max="1"/>
    <col width="16" customWidth="1" min="2" max="2"/>
    <col width="55" customWidth="1" min="3" max="3"/>
    <col width="16" customWidth="1" min="4" max="4"/>
    <col width="16" customWidth="1" min="5" max="5"/>
  </cols>
  <sheetData>
    <row r="1">
      <c r="A1" s="1" t="inlineStr">
        <is>
          <t>Dados de entrada (azul = digitado; amarelo = confirmar com o cliente)</t>
        </is>
      </c>
    </row>
    <row r="2">
      <c r="A2" t="inlineStr">
        <is>
          <t>Mass Total Services Inc  -  EIN 93-3675961  -  Form 1120-S 2025 (ano-calendario, regime de caixa)</t>
        </is>
      </c>
    </row>
    <row r="5">
      <c r="A5" s="4" t="inlineStr">
        <is>
          <t>Item</t>
        </is>
      </c>
      <c r="B5" s="5" t="inlineStr">
        <is>
          <t>Valor</t>
        </is>
      </c>
      <c r="C5" s="5" t="inlineStr">
        <is>
          <t>Fonte / observacao</t>
        </is>
      </c>
    </row>
    <row r="6">
      <c r="A6" t="inlineStr">
        <is>
          <t>Receita bruta (1120-S L1c)</t>
        </is>
      </c>
      <c r="B6" s="6" t="n">
        <v>445989</v>
      </c>
      <c r="C6" t="inlineStr">
        <is>
          <t>1120-S pag. 1</t>
        </is>
      </c>
    </row>
    <row r="7">
      <c r="A7" t="inlineStr">
        <is>
          <t>Custo das mercadorias - compras (1125-A)</t>
        </is>
      </c>
      <c r="B7" s="6" t="n">
        <v>128185</v>
      </c>
      <c r="C7" t="inlineStr">
        <is>
          <t>1125-A L2</t>
        </is>
      </c>
    </row>
    <row r="8">
      <c r="A8" t="inlineStr">
        <is>
          <t>Reparos e manutencao (L9)</t>
        </is>
      </c>
      <c r="B8" s="6" t="n">
        <v>801</v>
      </c>
      <c r="C8" t="inlineStr">
        <is>
          <t>1120-S pag. 1</t>
        </is>
      </c>
    </row>
    <row r="9">
      <c r="A9" t="inlineStr">
        <is>
          <t>Impostos e licencas (L12)</t>
        </is>
      </c>
      <c r="B9" s="6" t="n">
        <v>4880</v>
      </c>
      <c r="C9" t="inlineStr">
        <is>
          <t>Wks Tax/Lic</t>
        </is>
      </c>
    </row>
    <row r="10">
      <c r="A10" t="inlineStr">
        <is>
          <t>Outras despesas (L20)</t>
        </is>
      </c>
      <c r="B10" s="6" t="n">
        <v>42905</v>
      </c>
      <c r="C10" t="inlineStr">
        <is>
          <t>Statement #2</t>
        </is>
      </c>
    </row>
    <row r="11">
      <c r="A11" t="inlineStr">
        <is>
          <t>BMW - custo (em servico 08/15/2025)</t>
        </is>
      </c>
      <c r="B11" s="6" t="n">
        <v>39520</v>
      </c>
      <c r="C11" t="inlineStr">
        <is>
          <t>Depreciation detail</t>
        </is>
      </c>
    </row>
    <row r="12">
      <c r="A12" s="7" t="inlineStr">
        <is>
          <t>BMW - % uso comercial</t>
        </is>
      </c>
      <c r="B12" s="8" t="n">
        <v>1</v>
      </c>
      <c r="C12" s="7" t="inlineStr">
        <is>
          <t>CONFIRMAR com log de milhas (Form 4562 Part V)</t>
        </is>
      </c>
    </row>
    <row r="13">
      <c r="A13" s="7" t="inlineStr">
        <is>
          <t>BMW e carro de passeio ate 6,000 lbs GVWR? (1=sim, 0=nao)</t>
        </is>
      </c>
      <c r="B13" s="9" t="n">
        <v>0</v>
      </c>
      <c r="C13" s="7" t="inlineStr">
        <is>
          <t>CONFIRMAR modelo. 1 = aplica limite IRC 280F</t>
        </is>
      </c>
    </row>
    <row r="14">
      <c r="A14" t="inlineStr">
        <is>
          <t>Limite 280F 1o ano com bonus (Rev. Proc. 2025-16)</t>
        </is>
      </c>
      <c r="B14" s="6" t="n">
        <v>20200</v>
      </c>
      <c r="C14" t="inlineStr">
        <is>
          <t>carros em servico em 2025</t>
        </is>
      </c>
    </row>
    <row r="15">
      <c r="A15" t="inlineStr">
        <is>
          <t>Distribuicoes registradas (Wks DIST)</t>
        </is>
      </c>
      <c r="B15" s="6" t="n">
        <v>220000</v>
      </c>
      <c r="C15" t="inlineStr">
        <is>
          <t>K 16d original</t>
        </is>
      </c>
    </row>
    <row r="16">
      <c r="A16" t="inlineStr">
        <is>
          <t>AAA inicio do ano (M-2 L1)</t>
        </is>
      </c>
      <c r="B16" s="6" t="n">
        <v>77714</v>
      </c>
      <c r="C16" t="inlineStr">
        <is>
          <t>2024: 78,491 - 777 nao dedutivel</t>
        </is>
      </c>
    </row>
    <row r="17">
      <c r="A17" t="inlineStr">
        <is>
          <t>Caixa 31/12/2025 (extrato)</t>
        </is>
      </c>
      <c r="B17" s="6" t="n">
        <v>7909</v>
      </c>
      <c r="C17" t="inlineStr">
        <is>
          <t>Sch L / MA Sch A L16</t>
        </is>
      </c>
    </row>
    <row r="18">
      <c r="A18" s="7" t="inlineStr">
        <is>
          <t>Caixa 31/12/2024 (extrato)</t>
        </is>
      </c>
      <c r="B18" s="9" t="n">
        <v>77714</v>
      </c>
      <c r="C18" s="7" t="inlineStr">
        <is>
          <t>CONFIRMAR extrato de 12/2024</t>
        </is>
      </c>
    </row>
    <row r="19">
      <c r="A19" s="7" t="inlineStr">
        <is>
          <t>Saldo financiamento BMW 31/12/2025</t>
        </is>
      </c>
      <c r="B19" s="9" t="n">
        <v>39519</v>
      </c>
      <c r="C19" s="7" t="inlineStr">
        <is>
          <t>CONFIRMAR contrato (estava como accounts payable)</t>
        </is>
      </c>
    </row>
    <row r="20">
      <c r="A20" s="7" t="inlineStr">
        <is>
          <t>Despesas nao dedutiveis 2025 (ex.: presentes acima de $25/pessoa)</t>
        </is>
      </c>
      <c r="B20" s="9" t="n">
        <v>0</v>
      </c>
      <c r="C20" s="7" t="inlineStr">
        <is>
          <t>CONFIRMAR lista de presentes (gifts 1,671)</t>
        </is>
      </c>
    </row>
    <row r="21">
      <c r="A21" s="7" t="inlineStr">
        <is>
          <t>Base do sócio - capital aportado na abertura (2023)</t>
        </is>
      </c>
      <c r="B21" s="9" t="n">
        <v>0</v>
      </c>
      <c r="C21" s="7" t="inlineStr">
        <is>
          <t>CONFIRMAR - aumenta a base e reduz o ganho</t>
        </is>
      </c>
    </row>
    <row r="22">
      <c r="A22" t="inlineStr">
        <is>
          <t>Retiradas do socio sem registro: 1 = emprestimo ao socio, 0 = distribuicao</t>
        </is>
      </c>
      <c r="B22" s="6" t="n">
        <v>1</v>
      </c>
      <c r="C22" t="inlineStr">
        <is>
          <t>Distribuicoes de 2025 foram so 220,000 -&gt; emprestimo</t>
        </is>
      </c>
    </row>
    <row r="24">
      <c r="A24" s="2" t="inlineStr">
        <is>
          <t>Depreciacao calculada (federal)</t>
        </is>
      </c>
      <c r="B24" s="10">
        <f>IF(Dados!$B$13=1,MIN(Dados!$B$11*Dados!$B$12,Dados!$B$14),Dados!$B$11*Dados!$B$12)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Demonstracao de Resultado 2025 (Income Statement per books)</t>
        </is>
      </c>
    </row>
    <row r="2">
      <c r="A2" t="inlineStr">
        <is>
          <t>Mass Total Services Inc  -  EIN 93-3675961  -  Form 1120-S 2025 (ano-calendario, regime de caixa)</t>
        </is>
      </c>
    </row>
    <row r="5">
      <c r="A5" s="4" t="inlineStr">
        <is>
          <t>Conta</t>
        </is>
      </c>
      <c r="B5" s="5" t="inlineStr">
        <is>
          <t>2025</t>
        </is>
      </c>
    </row>
    <row r="6">
      <c r="A6" s="3" t="inlineStr">
        <is>
          <t>Receita bruta (Gross receipts)</t>
        </is>
      </c>
      <c r="B6" s="11">
        <f>Dados!$B$6</f>
        <v/>
      </c>
    </row>
    <row r="7">
      <c r="A7" s="3" t="inlineStr">
        <is>
          <t>(-) Custo das mercadorias vendidas (COGS)</t>
        </is>
      </c>
      <c r="B7" s="11">
        <f>-Dados!$B$7</f>
        <v/>
      </c>
    </row>
    <row r="8">
      <c r="A8" s="2" t="inlineStr">
        <is>
          <t>Lucro bruto (Gross profit)</t>
        </is>
      </c>
      <c r="B8" s="12">
        <f>B6+B7</f>
        <v/>
      </c>
    </row>
    <row r="9">
      <c r="A9" s="3" t="inlineStr">
        <is>
          <t>(-) Reparos e manutencao</t>
        </is>
      </c>
      <c r="B9" s="11">
        <f>-Dados!$B$8</f>
        <v/>
      </c>
    </row>
    <row r="10">
      <c r="A10" s="3" t="inlineStr">
        <is>
          <t>(-) Impostos e licencas</t>
        </is>
      </c>
      <c r="B10" s="11">
        <f>-Dados!$B$9</f>
        <v/>
      </c>
    </row>
    <row r="11">
      <c r="A11" s="3" t="inlineStr">
        <is>
          <t>(-) Depreciacao (BMW)</t>
        </is>
      </c>
      <c r="B11" s="11">
        <f>-Dados!$B$24</f>
        <v/>
      </c>
    </row>
    <row r="12">
      <c r="A12" s="3" t="inlineStr">
        <is>
          <t>(-) Outras despesas</t>
        </is>
      </c>
      <c r="B12" s="11">
        <f>-Dados!$B$10+Dados!$B$20</f>
        <v/>
      </c>
    </row>
    <row r="13">
      <c r="A13" s="3" t="inlineStr">
        <is>
          <t>(-) Despesas nao dedutiveis</t>
        </is>
      </c>
      <c r="B13" s="11">
        <f>-Dados!$B$20</f>
        <v/>
      </c>
    </row>
    <row r="14">
      <c r="A14" s="2" t="inlineStr">
        <is>
          <t>Lucro liquido contabil (Net income per books)</t>
        </is>
      </c>
      <c r="B14" s="12">
        <f>SUM(B8:B13)</f>
        <v/>
      </c>
    </row>
    <row r="15">
      <c r="A15" s="2" t="inlineStr">
        <is>
          <t>Lucro fiscal - 1120-S L22 (lucro contabil + nao dedutiveis)</t>
        </is>
      </c>
      <c r="B15" s="11">
        <f>B14+Dados!$B$20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Conciliacao de caixa - retiradas do socio nao registradas</t>
        </is>
      </c>
    </row>
    <row r="2">
      <c r="A2" t="inlineStr">
        <is>
          <t>Mass Total Services Inc  -  EIN 93-3675961  -  Form 1120-S 2025 (ano-calendario, regime de caixa)</t>
        </is>
      </c>
    </row>
    <row r="3">
      <c r="A3" s="13" t="inlineStr">
        <is>
          <t>Saida de caixa sem despesa documentada = distribuicao ao socio (IRC 1368)</t>
        </is>
      </c>
    </row>
    <row r="5">
      <c r="A5" s="4" t="inlineStr">
        <is>
          <t>Movimento</t>
        </is>
      </c>
      <c r="B5" s="5" t="inlineStr">
        <is>
          <t>Valor</t>
        </is>
      </c>
    </row>
    <row r="6">
      <c r="A6" s="3" t="inlineStr">
        <is>
          <t>Caixa inicio (31/12/2024)</t>
        </is>
      </c>
      <c r="B6" s="11">
        <f>Dados!$B$18</f>
        <v/>
      </c>
    </row>
    <row r="7">
      <c r="A7" s="3" t="inlineStr">
        <is>
          <t>(+) Lucro liquido contabil</t>
        </is>
      </c>
      <c r="B7" s="11">
        <f>DRE!B14</f>
        <v/>
      </c>
    </row>
    <row r="8">
      <c r="A8" s="3" t="inlineStr">
        <is>
          <t>(+) Depreciacao (nao e saida de caixa)</t>
        </is>
      </c>
      <c r="B8" s="11">
        <f>Dados!$B$24</f>
        <v/>
      </c>
    </row>
    <row r="9">
      <c r="A9" s="3" t="inlineStr">
        <is>
          <t>(-) Compra BMW</t>
        </is>
      </c>
      <c r="B9" s="11">
        <f>-Dados!$B$11</f>
        <v/>
      </c>
    </row>
    <row r="10">
      <c r="A10" s="3" t="inlineStr">
        <is>
          <t>(+) Financiamento BMW</t>
        </is>
      </c>
      <c r="B10" s="11">
        <f>Dados!$B$19</f>
        <v/>
      </c>
    </row>
    <row r="11">
      <c r="A11" s="3" t="inlineStr">
        <is>
          <t>(-) Distribuicoes registradas</t>
        </is>
      </c>
      <c r="B11" s="11">
        <f>-Dados!$B$15</f>
        <v/>
      </c>
    </row>
    <row r="12">
      <c r="A12" s="2" t="inlineStr">
        <is>
          <t>Caixa que deveria existir em 31/12/2025</t>
        </is>
      </c>
      <c r="B12" s="12">
        <f>SUM(B6:B11)</f>
        <v/>
      </c>
    </row>
    <row r="13">
      <c r="A13" s="3" t="inlineStr">
        <is>
          <t>Caixa real em 31/12/2025 (extrato)</t>
        </is>
      </c>
      <c r="B13" s="11">
        <f>Dados!$B$17</f>
        <v/>
      </c>
    </row>
    <row r="14">
      <c r="A14" s="14" t="inlineStr">
        <is>
          <t>Retiradas do socio nao registradas</t>
        </is>
      </c>
      <c r="B14" s="15">
        <f>B12-B13</f>
        <v/>
      </c>
    </row>
    <row r="16">
      <c r="A16" s="2" t="inlineStr">
        <is>
          <t>TOTAL DE DISTRIBUICOES 2025 (K 16d / K-1 16D)</t>
        </is>
      </c>
      <c r="B16" s="12">
        <f>Dados!$B$15+IF(Dados!$B$22=1,0,B14)</f>
        <v/>
      </c>
    </row>
    <row r="17">
      <c r="A17" s="2" t="inlineStr">
        <is>
          <t>Emprestimo ao socio (Sch L linha 7)</t>
        </is>
      </c>
      <c r="B17" s="12">
        <f>IF(Dados!$B$22=1,B14,0)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Schedule L - Balance Sheets per Books (correto)</t>
        </is>
      </c>
    </row>
    <row r="2">
      <c r="A2" t="inlineStr">
        <is>
          <t>Mass Total Services Inc  -  EIN 93-3675961  -  Form 1120-S 2025 (ano-calendario, regime de caixa)</t>
        </is>
      </c>
    </row>
    <row r="3">
      <c r="A3" s="13" t="inlineStr">
        <is>
          <t>Colunas (a)/(c) = bruto; (b)/(d) = liquido, como no formulario</t>
        </is>
      </c>
    </row>
    <row r="5">
      <c r="A5" s="4" t="inlineStr">
        <is>
          <t>Linha</t>
        </is>
      </c>
      <c r="B5" s="5" t="inlineStr">
        <is>
          <t>(a) Inicio bruto</t>
        </is>
      </c>
      <c r="C5" s="5" t="inlineStr">
        <is>
          <t>(b) Inicio</t>
        </is>
      </c>
      <c r="D5" s="5" t="inlineStr">
        <is>
          <t>(c) Fim bruto</t>
        </is>
      </c>
      <c r="E5" s="5" t="inlineStr">
        <is>
          <t>(d) Fim</t>
        </is>
      </c>
    </row>
    <row r="6">
      <c r="A6" s="3" t="inlineStr">
        <is>
          <t>1  Cash</t>
        </is>
      </c>
      <c r="C6" s="11">
        <f>Dados!$B$18</f>
        <v/>
      </c>
      <c r="E6" s="11">
        <f>Dados!$B$17</f>
        <v/>
      </c>
    </row>
    <row r="7">
      <c r="A7" s="3" t="inlineStr">
        <is>
          <t>7  Loans to shareholders</t>
        </is>
      </c>
      <c r="C7" s="11" t="n">
        <v>0</v>
      </c>
      <c r="E7" s="11">
        <f>Conciliacao!B17</f>
        <v/>
      </c>
    </row>
    <row r="8">
      <c r="A8" s="3" t="inlineStr">
        <is>
          <t>10a Buildings and other depreciable assets (BMW)</t>
        </is>
      </c>
      <c r="B8" s="11" t="n">
        <v>0</v>
      </c>
      <c r="D8" s="11">
        <f>Dados!$B$11</f>
        <v/>
      </c>
    </row>
    <row r="9">
      <c r="A9" s="3" t="inlineStr">
        <is>
          <t>10b Less accumulated depreciation  (liquido em b/d)</t>
        </is>
      </c>
      <c r="B9" s="11" t="n">
        <v>0</v>
      </c>
      <c r="C9" s="11">
        <f>B8+B9</f>
        <v/>
      </c>
      <c r="D9" s="11">
        <f>-Dados!$B$24</f>
        <v/>
      </c>
      <c r="E9" s="11">
        <f>D8+D9</f>
        <v/>
      </c>
    </row>
    <row r="10">
      <c r="A10" s="2" t="inlineStr">
        <is>
          <t>15 Total assets</t>
        </is>
      </c>
      <c r="C10" s="12">
        <f>C6+C7+C9</f>
        <v/>
      </c>
      <c r="E10" s="12">
        <f>E6+E7+E9</f>
        <v/>
      </c>
    </row>
    <row r="12">
      <c r="A12" s="3" t="inlineStr">
        <is>
          <t>20 Mortgages, notes, bonds payable &gt;= 1 yr (financ. BMW)</t>
        </is>
      </c>
      <c r="C12" s="11" t="n">
        <v>0</v>
      </c>
      <c r="E12" s="11">
        <f>Dados!$B$19</f>
        <v/>
      </c>
    </row>
    <row r="13">
      <c r="A13" s="3" t="inlineStr">
        <is>
          <t>22 Capital stock</t>
        </is>
      </c>
      <c r="C13" s="11">
        <f>Dados!$B$21</f>
        <v/>
      </c>
      <c r="E13" s="11">
        <f>Dados!$B$21</f>
        <v/>
      </c>
    </row>
    <row r="14">
      <c r="A14" s="3" t="inlineStr">
        <is>
          <t>24 Retained earnings</t>
        </is>
      </c>
      <c r="C14" s="11">
        <f>Dados!$B$18-Dados!$B$21</f>
        <v/>
      </c>
      <c r="E14" s="11">
        <f>C14+DRE!B14-Conciliacao!$B$16</f>
        <v/>
      </c>
    </row>
    <row r="15">
      <c r="A15" s="2" t="inlineStr">
        <is>
          <t>27 Total liabilities and shareholders' equity</t>
        </is>
      </c>
      <c r="C15" s="12">
        <f>SUM(C12:C14)</f>
        <v/>
      </c>
      <c r="E15" s="12">
        <f>SUM(E12:E14)</f>
        <v/>
      </c>
    </row>
    <row r="17">
      <c r="A17" s="2" t="inlineStr">
        <is>
          <t>Diferenca (tem que ser zero)</t>
        </is>
      </c>
      <c r="C17" s="11">
        <f>C10-C15</f>
        <v/>
      </c>
      <c r="E17" s="11">
        <f>E10-E15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Schedule M-1 - Reconciliation of Income per Books with Income per Return</t>
        </is>
      </c>
    </row>
    <row r="2">
      <c r="A2" t="inlineStr">
        <is>
          <t>Mass Total Services Inc  -  EIN 93-3675961  -  Form 1120-S 2025 (ano-calendario, regime de caixa)</t>
        </is>
      </c>
    </row>
    <row r="5">
      <c r="A5" s="4" t="inlineStr">
        <is>
          <t>Linha</t>
        </is>
      </c>
      <c r="B5" s="5" t="inlineStr">
        <is>
          <t>Valor</t>
        </is>
      </c>
    </row>
    <row r="6">
      <c r="A6" s="3" t="inlineStr">
        <is>
          <t>1  Net income (loss) per books</t>
        </is>
      </c>
      <c r="B6" s="11">
        <f>DRE!B14</f>
        <v/>
      </c>
    </row>
    <row r="7">
      <c r="A7" s="3" t="inlineStr">
        <is>
          <t>2  Income on Sch K not recorded on books</t>
        </is>
      </c>
      <c r="B7" s="11" t="n">
        <v>0</v>
      </c>
    </row>
    <row r="8">
      <c r="A8" s="3" t="inlineStr">
        <is>
          <t>3  Expenses on books not on Sch K (nao dedutiveis)</t>
        </is>
      </c>
      <c r="B8" s="11">
        <f>Dados!$B$20</f>
        <v/>
      </c>
    </row>
    <row r="9">
      <c r="A9" s="2" t="inlineStr">
        <is>
          <t>4  Add lines 1 through 3</t>
        </is>
      </c>
      <c r="B9" s="12">
        <f>SUM(B6:B8)</f>
        <v/>
      </c>
    </row>
    <row r="10">
      <c r="A10" s="3" t="inlineStr">
        <is>
          <t>5  Income on books not on Sch K</t>
        </is>
      </c>
      <c r="B10" s="11" t="n">
        <v>0</v>
      </c>
    </row>
    <row r="11">
      <c r="A11" s="3" t="inlineStr">
        <is>
          <t>6  Deductions on Sch K not charged against book income</t>
        </is>
      </c>
      <c r="B11" s="11" t="n">
        <v>0</v>
      </c>
    </row>
    <row r="12">
      <c r="A12" s="2" t="inlineStr">
        <is>
          <t>7  Add lines 5 and 6</t>
        </is>
      </c>
      <c r="B12" s="12">
        <f>B10+B11</f>
        <v/>
      </c>
    </row>
    <row r="13">
      <c r="A13" s="2" t="inlineStr">
        <is>
          <t>8  Income (loss) Schedule K line 18</t>
        </is>
      </c>
      <c r="B13" s="12">
        <f>B9-B12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Schedule M-2 - AAA / OAA</t>
        </is>
      </c>
    </row>
    <row r="2">
      <c r="A2" t="inlineStr">
        <is>
          <t>Mass Total Services Inc  -  EIN 93-3675961  -  Form 1120-S 2025 (ano-calendario, regime de caixa)</t>
        </is>
      </c>
    </row>
    <row r="3">
      <c r="A3" s="13" t="inlineStr">
        <is>
          <t>Linha 7 limitada a linha 6: distribuicao nao deixa o AAA negativo (Reg. 1.1368-2(a)(3)(iii))</t>
        </is>
      </c>
    </row>
    <row r="5">
      <c r="A5" s="4" t="inlineStr">
        <is>
          <t>Linha</t>
        </is>
      </c>
      <c r="B5" s="5" t="inlineStr">
        <is>
          <t>(a) AAA</t>
        </is>
      </c>
      <c r="C5" s="5" t="inlineStr">
        <is>
          <t>(d) OAA</t>
        </is>
      </c>
    </row>
    <row r="6">
      <c r="A6" s="3" t="inlineStr">
        <is>
          <t>1  Balance at beginning of tax year</t>
        </is>
      </c>
      <c r="B6" s="11">
        <f>Dados!$B$16</f>
        <v/>
      </c>
      <c r="C6" s="11" t="n">
        <v>0</v>
      </c>
    </row>
    <row r="7">
      <c r="A7" s="3" t="inlineStr">
        <is>
          <t>2  Ordinary income from page 1, line 22</t>
        </is>
      </c>
      <c r="B7" s="11">
        <f>'Schedule M-1'!B13</f>
        <v/>
      </c>
    </row>
    <row r="8">
      <c r="A8" s="3" t="inlineStr">
        <is>
          <t>3  Other additions</t>
        </is>
      </c>
      <c r="B8" s="11" t="n">
        <v>0</v>
      </c>
      <c r="C8" s="11" t="n">
        <v>0</v>
      </c>
    </row>
    <row r="9">
      <c r="A9" s="3" t="inlineStr">
        <is>
          <t>4  Loss from page 1, line 22</t>
        </is>
      </c>
      <c r="B9" s="11" t="n">
        <v>0</v>
      </c>
    </row>
    <row r="10">
      <c r="A10" s="3" t="inlineStr">
        <is>
          <t>5  Other reductions (nao dedutiveis)</t>
        </is>
      </c>
      <c r="B10" s="11">
        <f>-Dados!$B$20</f>
        <v/>
      </c>
      <c r="C10" s="11" t="n">
        <v>0</v>
      </c>
    </row>
    <row r="11">
      <c r="A11" s="2" t="inlineStr">
        <is>
          <t>6  Combine lines 1 through 5</t>
        </is>
      </c>
      <c r="B11" s="12">
        <f>SUM(B6:B10)</f>
        <v/>
      </c>
      <c r="C11" s="12">
        <f>SUM(C6:C10)</f>
        <v/>
      </c>
    </row>
    <row r="12">
      <c r="A12" s="3" t="inlineStr">
        <is>
          <t>7  Distributions (limitado ao AAA)</t>
        </is>
      </c>
      <c r="B12" s="11">
        <f>MAX(0,MIN(B11,Conciliacao!$B$16))</f>
        <v/>
      </c>
      <c r="C12" s="11" t="n">
        <v>0</v>
      </c>
    </row>
    <row r="13">
      <c r="A13" s="2" t="inlineStr">
        <is>
          <t>8  Balance at end of tax year</t>
        </is>
      </c>
      <c r="B13" s="12">
        <f>B11-B12</f>
        <v/>
      </c>
      <c r="C13" s="12">
        <f>C11-C12</f>
        <v/>
      </c>
    </row>
    <row r="15">
      <c r="A15" s="14" t="inlineStr">
        <is>
          <t>Distribuicao acima do AAA (nao entra no M-2)</t>
        </is>
      </c>
      <c r="B15" s="16">
        <f>Conciliacao!$B$16-B12</f>
        <v/>
      </c>
    </row>
    <row r="16">
      <c r="A16" s="2" t="inlineStr">
        <is>
          <t>Conferencia: RE fim (Sch L) = AAA fim - excesso?</t>
        </is>
      </c>
      <c r="B16" s="11">
        <f>IF('Schedule L'!E14=B13+C13-B15,"OK","VERIFICAR")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Base das acoes do socio (Form 7203) - Erli Marques de Morais, 100%</t>
        </is>
      </c>
    </row>
    <row r="2">
      <c r="A2" t="inlineStr">
        <is>
          <t>Mass Total Services Inc  -  EIN 93-3675961  -  Form 1120-S 2025 (ano-calendario, regime de caixa)</t>
        </is>
      </c>
    </row>
    <row r="3">
      <c r="A3" s="13" t="inlineStr">
        <is>
          <t>Ordem: aumentos -&gt; distribuicoes -&gt; nao dedutiveis -&gt; perdas (IRC 1368(d), Reg. 1.1367-1(f))</t>
        </is>
      </c>
    </row>
    <row r="5">
      <c r="A5" s="4" t="inlineStr">
        <is>
          <t>Item</t>
        </is>
      </c>
      <c r="B5" s="5" t="inlineStr">
        <is>
          <t>Valor</t>
        </is>
      </c>
    </row>
    <row r="6">
      <c r="A6" s="3" t="inlineStr">
        <is>
          <t>Capital aportado na abertura</t>
        </is>
      </c>
      <c r="B6" s="11">
        <f>Dados!$B$21</f>
        <v/>
      </c>
    </row>
    <row r="7">
      <c r="A7" s="3" t="inlineStr">
        <is>
          <t>(+) Lucro 2024 menos nao dedutiveis 2024</t>
        </is>
      </c>
      <c r="B7" s="11">
        <f>Dados!$B$16</f>
        <v/>
      </c>
    </row>
    <row r="8">
      <c r="A8" s="2" t="inlineStr">
        <is>
          <t>Base no inicio de 2025</t>
        </is>
      </c>
      <c r="B8" s="12">
        <f>B6+B7</f>
        <v/>
      </c>
    </row>
    <row r="9">
      <c r="A9" s="3" t="inlineStr">
        <is>
          <t>(+) Lucro ordinario 2025 (K-1 box 1)</t>
        </is>
      </c>
      <c r="B9" s="11">
        <f>'Schedule M-1'!B13</f>
        <v/>
      </c>
    </row>
    <row r="10">
      <c r="A10" s="2" t="inlineStr">
        <is>
          <t>Base antes das distribuicoes</t>
        </is>
      </c>
      <c r="B10" s="12">
        <f>B8+B9</f>
        <v/>
      </c>
    </row>
    <row r="11">
      <c r="A11" s="3" t="inlineStr">
        <is>
          <t>(-) Distribuicoes 2025 (K-1 box 16D)</t>
        </is>
      </c>
      <c r="B11" s="11">
        <f>-Conciliacao!$B$16</f>
        <v/>
      </c>
    </row>
    <row r="12">
      <c r="A12" s="3" t="inlineStr">
        <is>
          <t>Distribuicao isenta (ate a base)</t>
        </is>
      </c>
      <c r="B12" s="11">
        <f>MIN(B10,Conciliacao!$B$16)</f>
        <v/>
      </c>
    </row>
    <row r="13">
      <c r="A13" s="14" t="inlineStr">
        <is>
          <t>GANHO DE CAPITAL LONGO PRAZO DO SOCIO (excesso sobre a base)</t>
        </is>
      </c>
      <c r="B13" s="15">
        <f>MAX(0,Conciliacao!$B$16-B10)</f>
        <v/>
      </c>
    </row>
    <row r="14">
      <c r="A14" s="3" t="inlineStr">
        <is>
          <t>(-) Nao dedutiveis 2025</t>
        </is>
      </c>
      <c r="B14" s="11">
        <f>-Dados!$B$20</f>
        <v/>
      </c>
    </row>
    <row r="15">
      <c r="A15" s="2" t="inlineStr">
        <is>
          <t>Base no fim de 2025</t>
        </is>
      </c>
      <c r="B15" s="12">
        <f>MAX(0,B10-Conciliacao!$B$16-Dados!$B$20)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2026-10-12T18:34:52Z</dcterms:created>
  <dcterms:modified xmlns:dcterms="http://purl.org/dc/terms/" xmlns:xsi="http://www.w3.org/2001/XMLSchema-instance" xsi:type="dcterms:W3CDTF">2026-10-12T18:34:52Z</dcterms:modified>
</cp:coreProperties>
</file>